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ca9b7addc9fe5d07/Documents/MEP CTP San Pedro de Barva/Planeamientos Duodecimo 3-5 Diseño de Software/Clase 3/"/>
    </mc:Choice>
  </mc:AlternateContent>
  <xr:revisionPtr revIDLastSave="0" documentId="8_{61286ED1-CEBF-4A55-BC9B-DBFC720429EC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📋 Instrucciones" sheetId="1" r:id="rId1"/>
    <sheet name="📊 Datos" sheetId="2" r:id="rId2"/>
    <sheet name="📐 Métricas" sheetId="3" r:id="rId3"/>
    <sheet name="📈 Dashboard" sheetId="4" r:id="rId4"/>
  </sheet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8" i="4" l="1"/>
  <c r="E10" i="3"/>
  <c r="D9" i="4" s="1"/>
  <c r="E9" i="3"/>
  <c r="D8" i="4" s="1"/>
  <c r="D8" i="3"/>
  <c r="E8" i="3" s="1"/>
  <c r="D7" i="4" s="1"/>
  <c r="D7" i="3"/>
  <c r="C6" i="4" s="1"/>
  <c r="D6" i="3"/>
  <c r="E6" i="3" s="1"/>
  <c r="D5" i="4" s="1"/>
  <c r="C9" i="4"/>
  <c r="C5" i="4"/>
  <c r="C7" i="4" l="1"/>
  <c r="E7" i="3"/>
  <c r="D6" i="4" s="1"/>
</calcChain>
</file>

<file path=xl/sharedStrings.xml><?xml version="1.0" encoding="utf-8"?>
<sst xmlns="http://schemas.openxmlformats.org/spreadsheetml/2006/main" count="120" uniqueCount="95">
  <si>
    <t>INSTRUCCIONES DEL EXCEL — Seguí estos pasos en orden</t>
  </si>
  <si>
    <t>Este archivo acompaña la Guía de Clase (documento Word). Leé la guía ANTES de empezar acá.</t>
  </si>
  <si>
    <t>1</t>
  </si>
  <si>
    <t>Pestaña 📊 Datos — revisá los datos del Sprint 1</t>
  </si>
  <si>
    <t>Los 8 datos del equipo ya están ingresados (en celdas amarillas). Verificá que los números coincidan con la tabla de la Guía de Clase. Si algo está diferente, avisale al profe.</t>
  </si>
  <si>
    <t>💡 Los datos en amarillo son editables si el profe lo indica</t>
  </si>
  <si>
    <t>2</t>
  </si>
  <si>
    <t>Pestaña 📐 Métricas — estudiá las 3 fórmulas dadas</t>
  </si>
  <si>
    <t>Las primeras 3 métricas (Productividad, Densidad de defectos, DRE) ya tienen la fórmula escrita. Leelas con atención — son el patrón que vas a seguir para escribir las 2 que faltan.</t>
  </si>
  <si>
    <t>3</t>
  </si>
  <si>
    <t>Pestaña 📐 Métricas — escribí las 2 fórmulas que faltan</t>
  </si>
  <si>
    <t>Las celdas D9 (Cobertura) y D10 (Fiabilidad) están en amarillo con el texto '✏ Escribí la fórmula aquí'. Usá las fórmulas de la Guía de Clase:
• Cobertura: ='📊 Datos'!C14/'📊 Datos'!C13*100
• Fiabilidad: ='📊 Datos'!C15/('📊 Datos'!C15+'📊 Datos'!C16)</t>
  </si>
  <si>
    <t>💡 C13=pruebas planeadas  C14=ejecutadas  C15=MTTF  C16=MTTR</t>
  </si>
  <si>
    <t>4</t>
  </si>
  <si>
    <t>Pestaña 📐 Métricas — verificá los semáforos</t>
  </si>
  <si>
    <t>Cuando tus fórmulas estén correctas, la columna E muestra automáticamente 🟢 Bien, 🟡 Atención o 🔴 Crítico. Anotá esos estados en la tabla del Paso 3 de tu Guía de Clase.</t>
  </si>
  <si>
    <t>💡 Los umbrales de cada semáforo están en la tabla de abajo en esta misma pestaña</t>
  </si>
  <si>
    <t>5</t>
  </si>
  <si>
    <t>Pestaña 📈 Dashboard — revisá el gráfico</t>
  </si>
  <si>
    <t>💡 El gráfico lee automáticamente los resultados de la pestaña Métricas</t>
  </si>
  <si>
    <t>6</t>
  </si>
  <si>
    <t>💡 Las mismas preguntas también están en la Guía de Clase para que las respondás en los dos lados</t>
  </si>
  <si>
    <t>CRITERIOS DE CALIFICACIÓN — 100 puntos en total</t>
  </si>
  <si>
    <t>Fórmula de Cobertura correcta en celda D9</t>
  </si>
  <si>
    <t>20 pts</t>
  </si>
  <si>
    <t>Fórmula de Fiabilidad correcta en celda D10</t>
  </si>
  <si>
    <t>Los 5 semáforos muestran el estado correcto</t>
  </si>
  <si>
    <t>15 pts</t>
  </si>
  <si>
    <t>El gráfico del Dashboard muestra datos reales</t>
  </si>
  <si>
    <t>Tabla del Paso 3 de la Guía de Clase completada</t>
  </si>
  <si>
    <t>10 pts</t>
  </si>
  <si>
    <t>Las 3 preguntas de conclusión respondidas con argumentos</t>
  </si>
  <si>
    <t>TOTAL</t>
  </si>
  <si>
    <t>100 pts</t>
  </si>
  <si>
    <t>LECCIÓN 1 — TABLERO DE MÉTRICAS DE SOFTWARE</t>
  </si>
  <si>
    <t>Sprint 1 — App de Tareas del Colegio</t>
  </si>
  <si>
    <t>Leyenda:</t>
  </si>
  <si>
    <t>Celda que vos completás (ingresá el dato)</t>
  </si>
  <si>
    <t>Celda de fórmula — escribí la fórmula aquí</t>
  </si>
  <si>
    <t>¿Qué medimos?</t>
  </si>
  <si>
    <t>Resultado</t>
  </si>
  <si>
    <t>Unidad</t>
  </si>
  <si>
    <t>Líneas de código producidas</t>
  </si>
  <si>
    <t>líneas</t>
  </si>
  <si>
    <t>Horas trabajadas por el equipo</t>
  </si>
  <si>
    <t>horas-persona</t>
  </si>
  <si>
    <t>Errores encontrados en pruebas</t>
  </si>
  <si>
    <t>errores</t>
  </si>
  <si>
    <t>Errores reportados por los usuarios</t>
  </si>
  <si>
    <t>Pruebas planeadas</t>
  </si>
  <si>
    <t>pruebas</t>
  </si>
  <si>
    <t>Pruebas ejecutadas</t>
  </si>
  <si>
    <t>Horas promedio sin fallar (MTTF)</t>
  </si>
  <si>
    <t>horas</t>
  </si>
  <si>
    <t>Horas promedio de reparación (MTTR)</t>
  </si>
  <si>
    <t>💡 Estos datos son los del escenario de la Guía de Clase. Podés cambiarlos y todas las fórmulas de la pestaña Métricas se actualizarán automáticamente.</t>
  </si>
  <si>
    <t>CÁLCULO DE MÉTRICAS — Completá las fórmulas</t>
  </si>
  <si>
    <t>Las celdas en azul son donde debés escribir tu fórmula. Referenciá siempre la pestaña 'Datos', ej: ='📊 Datos'!C9</t>
  </si>
  <si>
    <t>Métrica</t>
  </si>
  <si>
    <t>Fórmula matemática (referencia)</t>
  </si>
  <si>
    <t>Tu resultado</t>
  </si>
  <si>
    <t>Estado</t>
  </si>
  <si>
    <t>Productividad</t>
  </si>
  <si>
    <t>Líneas de código ÷ Horas trabajadas</t>
  </si>
  <si>
    <t>Densidad de defectos</t>
  </si>
  <si>
    <t>(Errores pruebas + Errores usuarios) ÷ (LOC ÷ 1000)</t>
  </si>
  <si>
    <t>DRE — Eficiencia</t>
  </si>
  <si>
    <t>Errores pruebas ÷ (Errores pruebas + Errores usuarios) × 100</t>
  </si>
  <si>
    <t>Cobertura de pruebas (%)</t>
  </si>
  <si>
    <t>Pruebas ejecutadas ÷ Pruebas planeadas × 100  →  Borrá el texto y escribí la fórmula</t>
  </si>
  <si>
    <t>✏  Cobertura: ='📊 Datos'!C14/'📊 Datos'!C13*100</t>
  </si>
  <si>
    <t>Fiabilidad</t>
  </si>
  <si>
    <t>MTTF ÷ (MTTF + MTTR)  →  Borrá el texto y escribí la fórmula</t>
  </si>
  <si>
    <t>✏  Fiabilidad: ='📊 Datos'!C15/('📊 Datos'!C15+'📊 Datos'!C16)</t>
  </si>
  <si>
    <t>TABLA DE REFERENCIA — Umbrales de semáforo</t>
  </si>
  <si>
    <t>🟢 Bien</t>
  </si>
  <si>
    <t>🟡 Atención</t>
  </si>
  <si>
    <t>🔴 Crítico</t>
  </si>
  <si>
    <t>&lt; 0.3</t>
  </si>
  <si>
    <t>0.3 a 0.7</t>
  </si>
  <si>
    <t>&gt; 0.7</t>
  </si>
  <si>
    <t>DRE</t>
  </si>
  <si>
    <t>&gt; 85%</t>
  </si>
  <si>
    <t>70% a 85%</t>
  </si>
  <si>
    <t>&lt; 70%</t>
  </si>
  <si>
    <t>Cobertura</t>
  </si>
  <si>
    <t>&gt; 0.97</t>
  </si>
  <si>
    <t>0.93 a 0.97</t>
  </si>
  <si>
    <t>&lt; 0.93</t>
  </si>
  <si>
    <t>DASHBOARD — Resumen Sprint 1</t>
  </si>
  <si>
    <t>✏  MI CONCLUSIÓN — Respondé acá (escribí en las celdas de abajo)</t>
  </si>
  <si>
    <t>1. ¿Cómo le fue al equipo en este sprint? (mirá los semáforos)</t>
  </si>
  <si>
    <t>Escribí tu respuesta acá (mínimo 2 oraciones, usá los números que calculaste)...</t>
  </si>
  <si>
    <t>2. ¿Qué métrica te preocupa más y por qué?</t>
  </si>
  <si>
    <t>3. ¿Qué le recomendarías mejorar al equipo para el próximo sprint?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</si>
</sst>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"/>
    </font>
    <font>
      <b/>
      <sz val="15"/>
      <color rgb="FFFFFFFF"/>
      <name val="Calibri"/>
      <charset val="1"/>
    </font>
    <font>
      <i/>
      <sz val="11"/>
      <color rgb="FF1565C0"/>
      <name val="Calibri"/>
      <charset val="1"/>
    </font>
    <font>
      <b/>
      <sz val="14"/>
      <color rgb="FFFFFFFF"/>
      <name val="Calibri"/>
      <charset val="1"/>
    </font>
    <font>
      <b/>
      <sz val="13"/>
      <color rgb="FF1565C0"/>
      <name val="Calibri"/>
      <charset val="1"/>
    </font>
    <font>
      <sz val="11"/>
      <color rgb="FF1A1A1A"/>
      <name val="Calibri"/>
      <charset val="1"/>
    </font>
    <font>
      <i/>
      <sz val="10"/>
      <color rgb="FF555555"/>
      <name val="Calibri"/>
      <charset val="1"/>
    </font>
    <font>
      <b/>
      <sz val="13"/>
      <color rgb="FFFFFFFF"/>
      <name val="Calibri"/>
      <charset val="1"/>
    </font>
    <font>
      <b/>
      <sz val="11"/>
      <color rgb="FF1565C0"/>
      <name val="Calibri"/>
      <charset val="1"/>
    </font>
    <font>
      <b/>
      <sz val="12"/>
      <color rgb="FFFFFFFF"/>
      <name val="Calibri"/>
      <charset val="1"/>
    </font>
    <font>
      <b/>
      <sz val="16"/>
      <color rgb="FFFFFFFF"/>
      <name val="Calibri"/>
      <charset val="1"/>
    </font>
    <font>
      <i/>
      <sz val="12"/>
      <color rgb="FF1565C0"/>
      <name val="Calibri"/>
      <charset val="1"/>
    </font>
    <font>
      <b/>
      <sz val="11"/>
      <color rgb="FF1A1A1A"/>
      <name val="Calibri"/>
      <charset val="1"/>
    </font>
    <font>
      <b/>
      <sz val="12"/>
      <color rgb="FF1565C0"/>
      <name val="Calibri"/>
      <charset val="1"/>
    </font>
    <font>
      <i/>
      <sz val="11"/>
      <color rgb="FF666666"/>
      <name val="Calibri"/>
      <charset val="1"/>
    </font>
    <font>
      <i/>
      <sz val="11"/>
      <color rgb="FF444444"/>
      <name val="Calibri"/>
      <charset val="1"/>
    </font>
    <font>
      <b/>
      <sz val="12"/>
      <color rgb="FF1A1A1A"/>
      <name val="Calibri"/>
      <charset val="1"/>
    </font>
    <font>
      <i/>
      <sz val="11"/>
      <color rgb="FFFF8F00"/>
      <name val="Calibri"/>
      <charset val="1"/>
    </font>
    <font>
      <b/>
      <sz val="11"/>
      <color rgb="FFFFFFFF"/>
      <name val="Calibri"/>
      <charset val="1"/>
    </font>
    <font>
      <i/>
      <sz val="11"/>
      <color rgb="FF9E9E9E"/>
      <name val="Calibri"/>
      <charset val="1"/>
    </font>
  </fonts>
  <fills count="15">
    <fill>
      <patternFill patternType="none"/>
    </fill>
    <fill>
      <patternFill patternType="gray125"/>
    </fill>
    <fill>
      <patternFill patternType="solid">
        <fgColor rgb="FF1565C0"/>
        <bgColor rgb="FF1976D2"/>
      </patternFill>
    </fill>
    <fill>
      <patternFill patternType="solid">
        <fgColor rgb="FFE3F2FD"/>
        <bgColor rgb="FFE8F5E9"/>
      </patternFill>
    </fill>
    <fill>
      <patternFill patternType="solid">
        <fgColor rgb="FF1976D2"/>
        <bgColor rgb="FF1565C0"/>
      </patternFill>
    </fill>
    <fill>
      <patternFill patternType="solid">
        <fgColor rgb="FFF5F5F5"/>
        <bgColor rgb="FFF9F9F9"/>
      </patternFill>
    </fill>
    <fill>
      <patternFill patternType="solid">
        <fgColor rgb="FFFFFDE7"/>
        <bgColor rgb="FFF9F9F9"/>
      </patternFill>
    </fill>
    <fill>
      <patternFill patternType="solid">
        <fgColor rgb="FF37474F"/>
        <bgColor rgb="FF444444"/>
      </patternFill>
    </fill>
    <fill>
      <patternFill patternType="solid">
        <fgColor rgb="FFFFFFFF"/>
        <bgColor rgb="FFF9F9F9"/>
      </patternFill>
    </fill>
    <fill>
      <patternFill patternType="solid">
        <fgColor rgb="FFFFF9C4"/>
        <bgColor rgb="FFFFFDE7"/>
      </patternFill>
    </fill>
    <fill>
      <patternFill patternType="solid">
        <fgColor rgb="FF2E7D32"/>
        <bgColor rgb="FF008000"/>
      </patternFill>
    </fill>
    <fill>
      <patternFill patternType="solid">
        <fgColor rgb="FFF57F17"/>
        <bgColor rgb="FFFF8F00"/>
      </patternFill>
    </fill>
    <fill>
      <patternFill patternType="solid">
        <fgColor rgb="FFC62828"/>
        <bgColor rgb="FF993366"/>
      </patternFill>
    </fill>
    <fill>
      <patternFill patternType="solid">
        <fgColor rgb="FFE8F5E9"/>
        <bgColor rgb="FFE3F2FD"/>
      </patternFill>
    </fill>
    <fill>
      <patternFill patternType="solid">
        <fgColor rgb="FFFFEBEE"/>
        <bgColor rgb="FFF5F5F5"/>
      </patternFill>
    </fill>
  </fills>
  <borders count="13">
    <border>
      <left/>
      <right/>
      <top/>
      <bottom/>
      <diagonal/>
    </border>
    <border>
      <left style="thin">
        <color rgb="FF1565C0"/>
      </left>
      <right style="thin">
        <color rgb="FF1565C0"/>
      </right>
      <top style="thin">
        <color rgb="FF1565C0"/>
      </top>
      <bottom style="thin">
        <color rgb="FF1565C0"/>
      </bottom>
      <diagonal/>
    </border>
    <border>
      <left style="thin">
        <color rgb="FF1565C0"/>
      </left>
      <right/>
      <top style="thin">
        <color rgb="FF1565C0"/>
      </top>
      <bottom style="thin">
        <color rgb="FF1565C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FF8F00"/>
      </left>
      <right style="thin">
        <color rgb="FFFF8F00"/>
      </right>
      <top style="thin">
        <color rgb="FFFF8F00"/>
      </top>
      <bottom style="thin">
        <color rgb="FFFF8F00"/>
      </bottom>
      <diagonal/>
    </border>
    <border>
      <left style="thin">
        <color rgb="FFCCCCCC"/>
      </left>
      <right style="thin">
        <color rgb="FFFF8F00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medium">
        <color rgb="FFFF8F00"/>
      </left>
      <right style="medium">
        <color rgb="FFFF8F00"/>
      </right>
      <top style="medium">
        <color rgb="FFFF8F00"/>
      </top>
      <bottom style="medium">
        <color rgb="FFFF8F00"/>
      </bottom>
      <diagonal/>
    </border>
    <border>
      <left style="medium">
        <color rgb="FF1565C0"/>
      </left>
      <right style="medium">
        <color rgb="FF1565C0"/>
      </right>
      <top style="medium">
        <color rgb="FF1565C0"/>
      </top>
      <bottom style="medium">
        <color rgb="FF1565C0"/>
      </bottom>
      <diagonal/>
    </border>
    <border>
      <left style="thin">
        <color rgb="FF1976D2"/>
      </left>
      <right style="thin">
        <color rgb="FF1976D2"/>
      </right>
      <top style="thin">
        <color rgb="FF1976D2"/>
      </top>
      <bottom style="thin">
        <color rgb="FF1976D2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FF8F00"/>
      </left>
      <right/>
      <top style="thin">
        <color rgb="FFFF8F00"/>
      </top>
      <bottom style="thin">
        <color rgb="FFFF8F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9" fillId="2" borderId="2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left" vertical="center"/>
    </xf>
    <xf numFmtId="0" fontId="5" fillId="3" borderId="7" xfId="0" applyFont="1" applyFill="1" applyBorder="1" applyAlignment="1">
      <alignment horizontal="left" vertical="center"/>
    </xf>
    <xf numFmtId="0" fontId="7" fillId="7" borderId="0" xfId="0" applyFont="1" applyFill="1" applyAlignment="1">
      <alignment horizontal="center" vertical="center"/>
    </xf>
    <xf numFmtId="0" fontId="0" fillId="0" borderId="6" xfId="0" applyBorder="1"/>
    <xf numFmtId="0" fontId="3" fillId="4" borderId="1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19" fillId="9" borderId="12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9" fillId="7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 wrapText="1"/>
    </xf>
    <xf numFmtId="0" fontId="6" fillId="6" borderId="4" xfId="0" applyFont="1" applyFill="1" applyBorder="1" applyAlignment="1">
      <alignment horizontal="left" vertical="center" wrapText="1"/>
    </xf>
    <xf numFmtId="0" fontId="7" fillId="7" borderId="0" xfId="0" applyFont="1" applyFill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2" fillId="0" borderId="0" xfId="0" applyFont="1"/>
    <xf numFmtId="0" fontId="0" fillId="9" borderId="8" xfId="0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0" fillId="5" borderId="9" xfId="0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left" vertical="center"/>
    </xf>
    <xf numFmtId="0" fontId="13" fillId="9" borderId="8" xfId="0" applyFont="1" applyFill="1" applyBorder="1" applyAlignment="1">
      <alignment horizontal="center" vertical="center"/>
    </xf>
    <xf numFmtId="0" fontId="14" fillId="3" borderId="11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left" vertical="center"/>
    </xf>
    <xf numFmtId="0" fontId="14" fillId="8" borderId="11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left" vertical="center"/>
    </xf>
    <xf numFmtId="0" fontId="15" fillId="3" borderId="11" xfId="0" applyFont="1" applyFill="1" applyBorder="1" applyAlignment="1">
      <alignment horizontal="left" vertical="center"/>
    </xf>
    <xf numFmtId="2" fontId="8" fillId="5" borderId="9" xfId="0" applyNumberFormat="1" applyFont="1" applyFill="1" applyBorder="1" applyAlignment="1">
      <alignment horizontal="center" vertical="center"/>
    </xf>
    <xf numFmtId="0" fontId="16" fillId="5" borderId="11" xfId="0" applyFont="1" applyFill="1" applyBorder="1" applyAlignment="1">
      <alignment horizontal="center" vertical="center"/>
    </xf>
    <xf numFmtId="0" fontId="12" fillId="8" borderId="11" xfId="0" applyFont="1" applyFill="1" applyBorder="1" applyAlignment="1">
      <alignment horizontal="left" vertical="center"/>
    </xf>
    <xf numFmtId="0" fontId="15" fillId="8" borderId="11" xfId="0" applyFont="1" applyFill="1" applyBorder="1" applyAlignment="1">
      <alignment horizontal="left" vertical="center"/>
    </xf>
    <xf numFmtId="0" fontId="17" fillId="9" borderId="8" xfId="0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center" vertical="center" wrapText="1"/>
    </xf>
    <xf numFmtId="0" fontId="18" fillId="10" borderId="10" xfId="0" applyFont="1" applyFill="1" applyBorder="1" applyAlignment="1">
      <alignment horizontal="center" vertical="center" wrapText="1"/>
    </xf>
    <xf numFmtId="0" fontId="18" fillId="11" borderId="10" xfId="0" applyFont="1" applyFill="1" applyBorder="1" applyAlignment="1">
      <alignment horizontal="center" vertical="center" wrapText="1"/>
    </xf>
    <xf numFmtId="0" fontId="18" fillId="12" borderId="10" xfId="0" applyFont="1" applyFill="1" applyBorder="1" applyAlignment="1">
      <alignment horizontal="center" vertical="center" wrapText="1"/>
    </xf>
    <xf numFmtId="0" fontId="5" fillId="13" borderId="11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14" borderId="11" xfId="0" applyFont="1" applyFill="1" applyBorder="1" applyAlignment="1">
      <alignment horizontal="center" vertical="center"/>
    </xf>
    <xf numFmtId="2" fontId="13" fillId="3" borderId="11" xfId="0" applyNumberFormat="1" applyFont="1" applyFill="1" applyBorder="1" applyAlignment="1">
      <alignment horizontal="center" vertical="center"/>
    </xf>
    <xf numFmtId="0" fontId="16" fillId="3" borderId="11" xfId="0" applyFont="1" applyFill="1" applyBorder="1" applyAlignment="1">
      <alignment horizontal="center" vertical="center"/>
    </xf>
    <xf numFmtId="2" fontId="13" fillId="8" borderId="11" xfId="0" applyNumberFormat="1" applyFont="1" applyFill="1" applyBorder="1" applyAlignment="1">
      <alignment horizontal="center" vertical="center"/>
    </xf>
    <xf numFmtId="0" fontId="16" fillId="8" borderId="11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DBD"/>
      <rgbColor rgb="FF878787"/>
      <rgbColor rgb="FF9999FF"/>
      <rgbColor rgb="FF555555"/>
      <rgbColor rgb="FFFFF9C4"/>
      <rgbColor rgb="FFE3F2FD"/>
      <rgbColor rgb="FF660066"/>
      <rgbColor rgb="FFFF8080"/>
      <rgbColor rgb="FF1565C0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5F5F5"/>
      <rgbColor rgb="FFFFFDE7"/>
      <rgbColor rgb="FFFFEBEE"/>
      <rgbColor rgb="FFF9F9F9"/>
      <rgbColor rgb="FFCC99FF"/>
      <rgbColor rgb="FFD9D9D9"/>
      <rgbColor rgb="FF1976D2"/>
      <rgbColor rgb="FF33CCCC"/>
      <rgbColor rgb="FF99CC00"/>
      <rgbColor rgb="FFFFCC00"/>
      <rgbColor rgb="FFFF8F00"/>
      <rgbColor rgb="FFF57F17"/>
      <rgbColor rgb="FF666666"/>
      <rgbColor rgb="FF9E9E9E"/>
      <rgbColor rgb="FF003366"/>
      <rgbColor rgb="FF2E7D32"/>
      <rgbColor rgb="FF003300"/>
      <rgbColor rgb="FF1A1A1A"/>
      <rgbColor rgb="FFC62828"/>
      <rgbColor rgb="FF993366"/>
      <rgbColor rgb="FF37474F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s-E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S" sz="1800" b="1" strike="noStrike" spc="-1">
                <a:solidFill>
                  <a:srgbClr val="000000"/>
                </a:solidFill>
                <a:latin typeface="Calibri"/>
              </a:rPr>
              <a:t>Estado de Métricas — Sprint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'📈 Dashboard'!$C$4</c:f>
              <c:strCache>
                <c:ptCount val="1"/>
                <c:pt idx="0">
                  <c:v>Resultado</c:v>
                </c:pt>
              </c:strCache>
            </c:strRef>
          </c:tx>
          <c:spPr>
            <a:solidFill>
              <a:srgbClr val="1976D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'📈 Dashboard'!$B$5:$B$9</c:f>
              <c:strCache>
                <c:ptCount val="5"/>
                <c:pt idx="0">
                  <c:v>Productividad</c:v>
                </c:pt>
                <c:pt idx="1">
                  <c:v>Densidad de defectos</c:v>
                </c:pt>
                <c:pt idx="2">
                  <c:v>DRE — Eficiencia</c:v>
                </c:pt>
                <c:pt idx="3">
                  <c:v>Cobertura de pruebas (%)</c:v>
                </c:pt>
                <c:pt idx="4">
                  <c:v>Fiabilidad</c:v>
                </c:pt>
              </c:strCache>
            </c:strRef>
          </c:cat>
          <c:val>
            <c:numRef>
              <c:f>'📈 Dashboard'!$C$5:$C$9</c:f>
              <c:numCache>
                <c:formatCode>0.00</c:formatCode>
                <c:ptCount val="5"/>
                <c:pt idx="0">
                  <c:v>20</c:v>
                </c:pt>
                <c:pt idx="1">
                  <c:v>4.6875</c:v>
                </c:pt>
                <c:pt idx="2">
                  <c:v>80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8F-4F73-A1FC-CDBD1C4230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1600"/>
        <c:axId val="96336575"/>
      </c:barChart>
      <c:catAx>
        <c:axId val="1271600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lang="es-E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Calibri"/>
                  </a:rPr>
                  <a:t>Valor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96336575"/>
        <c:crosses val="autoZero"/>
        <c:auto val="1"/>
        <c:lblAlgn val="ctr"/>
        <c:lblOffset val="100"/>
        <c:noMultiLvlLbl val="0"/>
      </c:catAx>
      <c:valAx>
        <c:axId val="9633657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s-E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Calibri"/>
                  </a:rPr>
                  <a:t>Métrica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12716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68760</xdr:colOff>
      <xdr:row>8</xdr:row>
      <xdr:rowOff>45720</xdr:rowOff>
    </xdr:from>
    <xdr:to>
      <xdr:col>5</xdr:col>
      <xdr:colOff>630360</xdr:colOff>
      <xdr:row>29</xdr:row>
      <xdr:rowOff>262800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37"/>
  <sheetViews>
    <sheetView showGridLines="0" topLeftCell="A3" zoomScaleNormal="100" workbookViewId="0">
      <selection activeCell="C8" sqref="C8"/>
    </sheetView>
  </sheetViews>
  <sheetFormatPr baseColWidth="10" defaultColWidth="8.6640625" defaultRowHeight="14.4" x14ac:dyDescent="0.3"/>
  <cols>
    <col min="1" max="1" width="2" customWidth="1"/>
    <col min="2" max="2" width="7" customWidth="1"/>
    <col min="3" max="3" width="55" customWidth="1"/>
    <col min="4" max="4" width="30" customWidth="1"/>
  </cols>
  <sheetData>
    <row r="1" spans="2:4" ht="7.5" customHeight="1" x14ac:dyDescent="0.3"/>
    <row r="2" spans="2:4" ht="36" customHeight="1" x14ac:dyDescent="0.3">
      <c r="B2" s="14" t="s">
        <v>0</v>
      </c>
      <c r="C2" s="14"/>
      <c r="D2" s="14"/>
    </row>
    <row r="3" spans="2:4" ht="21.75" customHeight="1" x14ac:dyDescent="0.3">
      <c r="B3" s="10" t="s">
        <v>1</v>
      </c>
      <c r="C3" s="10"/>
      <c r="D3" s="10"/>
    </row>
    <row r="4" spans="2:4" ht="9.75" customHeight="1" x14ac:dyDescent="0.3">
      <c r="C4" s="9"/>
      <c r="D4" s="9"/>
    </row>
    <row r="5" spans="2:4" ht="25.5" customHeight="1" x14ac:dyDescent="0.3">
      <c r="B5" s="15" t="s">
        <v>2</v>
      </c>
      <c r="C5" s="8" t="s">
        <v>3</v>
      </c>
      <c r="D5" s="8"/>
    </row>
    <row r="6" spans="2:4" ht="42" customHeight="1" x14ac:dyDescent="0.3">
      <c r="C6" s="16" t="s">
        <v>4</v>
      </c>
      <c r="D6" s="17" t="s">
        <v>5</v>
      </c>
    </row>
    <row r="7" spans="2:4" ht="21.75" customHeight="1" x14ac:dyDescent="0.3">
      <c r="C7" s="9"/>
      <c r="D7" s="9"/>
    </row>
    <row r="8" spans="2:4" ht="7.5" customHeight="1" x14ac:dyDescent="0.3"/>
    <row r="9" spans="2:4" ht="25.5" customHeight="1" x14ac:dyDescent="0.3">
      <c r="B9" s="15" t="s">
        <v>6</v>
      </c>
      <c r="C9" s="8" t="s">
        <v>7</v>
      </c>
      <c r="D9" s="8"/>
    </row>
    <row r="10" spans="2:4" ht="42" customHeight="1" x14ac:dyDescent="0.3">
      <c r="C10" s="7" t="s">
        <v>8</v>
      </c>
      <c r="D10" s="7"/>
    </row>
    <row r="11" spans="2:4" ht="21.75" customHeight="1" x14ac:dyDescent="0.3"/>
    <row r="12" spans="2:4" ht="7.5" customHeight="1" x14ac:dyDescent="0.3"/>
    <row r="13" spans="2:4" ht="25.5" customHeight="1" x14ac:dyDescent="0.3">
      <c r="B13" s="15" t="s">
        <v>9</v>
      </c>
      <c r="C13" s="8" t="s">
        <v>10</v>
      </c>
      <c r="D13" s="8"/>
    </row>
    <row r="14" spans="2:4" ht="42" customHeight="1" x14ac:dyDescent="0.3">
      <c r="C14" s="16" t="s">
        <v>11</v>
      </c>
      <c r="D14" s="17" t="s">
        <v>12</v>
      </c>
    </row>
    <row r="15" spans="2:4" ht="21.75" customHeight="1" x14ac:dyDescent="0.3"/>
    <row r="16" spans="2:4" ht="7.5" customHeight="1" x14ac:dyDescent="0.3">
      <c r="C16" s="9"/>
      <c r="D16" s="9"/>
    </row>
    <row r="17" spans="2:4" ht="25.5" customHeight="1" x14ac:dyDescent="0.3">
      <c r="B17" s="15" t="s">
        <v>13</v>
      </c>
      <c r="C17" s="8" t="s">
        <v>14</v>
      </c>
      <c r="D17" s="8"/>
    </row>
    <row r="18" spans="2:4" ht="42" customHeight="1" x14ac:dyDescent="0.3">
      <c r="C18" s="16" t="s">
        <v>15</v>
      </c>
      <c r="D18" s="17" t="s">
        <v>16</v>
      </c>
    </row>
    <row r="19" spans="2:4" ht="21.75" customHeight="1" x14ac:dyDescent="0.3">
      <c r="C19" s="9"/>
      <c r="D19" s="9"/>
    </row>
    <row r="20" spans="2:4" ht="7.5" customHeight="1" x14ac:dyDescent="0.3"/>
    <row r="21" spans="2:4" ht="25.5" customHeight="1" x14ac:dyDescent="0.3">
      <c r="B21" s="15" t="s">
        <v>17</v>
      </c>
      <c r="C21" s="8" t="s">
        <v>18</v>
      </c>
      <c r="D21" s="8"/>
    </row>
    <row r="22" spans="2:4" ht="42" customHeight="1" x14ac:dyDescent="0.3">
      <c r="C22" s="16"/>
      <c r="D22" s="17" t="s">
        <v>19</v>
      </c>
    </row>
    <row r="23" spans="2:4" ht="21.75" customHeight="1" x14ac:dyDescent="0.3">
      <c r="B23" s="9"/>
      <c r="C23" s="9"/>
      <c r="D23" s="9"/>
    </row>
    <row r="24" spans="2:4" ht="7.5" customHeight="1" x14ac:dyDescent="0.3">
      <c r="B24" s="9"/>
      <c r="C24" s="9"/>
    </row>
    <row r="25" spans="2:4" ht="25.5" customHeight="1" x14ac:dyDescent="0.3">
      <c r="B25" s="6" t="s">
        <v>20</v>
      </c>
      <c r="C25" s="6"/>
      <c r="D25" s="15"/>
    </row>
    <row r="26" spans="2:4" ht="42" customHeight="1" x14ac:dyDescent="0.3">
      <c r="B26" s="5"/>
      <c r="C26" s="5"/>
      <c r="D26" s="17" t="s">
        <v>21</v>
      </c>
    </row>
    <row r="27" spans="2:4" ht="21.75" customHeight="1" x14ac:dyDescent="0.3">
      <c r="B27" s="9"/>
      <c r="C27" s="9"/>
    </row>
    <row r="28" spans="2:4" ht="7.5" customHeight="1" x14ac:dyDescent="0.3">
      <c r="B28" s="9"/>
      <c r="C28" s="9"/>
    </row>
    <row r="29" spans="2:4" ht="21.75" customHeight="1" x14ac:dyDescent="0.3">
      <c r="B29" s="9"/>
      <c r="C29" s="9"/>
    </row>
    <row r="30" spans="2:4" ht="27.75" customHeight="1" x14ac:dyDescent="0.3">
      <c r="B30" s="4" t="s">
        <v>22</v>
      </c>
      <c r="C30" s="4"/>
      <c r="D30" s="18"/>
    </row>
    <row r="31" spans="2:4" ht="21.75" customHeight="1" x14ac:dyDescent="0.3">
      <c r="B31" s="3" t="s">
        <v>23</v>
      </c>
      <c r="C31" s="3"/>
      <c r="D31" s="19" t="s">
        <v>24</v>
      </c>
    </row>
    <row r="32" spans="2:4" ht="21.75" customHeight="1" x14ac:dyDescent="0.3">
      <c r="B32" s="2" t="s">
        <v>25</v>
      </c>
      <c r="C32" s="2"/>
      <c r="D32" s="20" t="s">
        <v>24</v>
      </c>
    </row>
    <row r="33" spans="2:4" ht="21.75" customHeight="1" x14ac:dyDescent="0.3">
      <c r="B33" s="3" t="s">
        <v>26</v>
      </c>
      <c r="C33" s="3"/>
      <c r="D33" s="19" t="s">
        <v>27</v>
      </c>
    </row>
    <row r="34" spans="2:4" ht="21.75" customHeight="1" x14ac:dyDescent="0.3">
      <c r="B34" s="2" t="s">
        <v>28</v>
      </c>
      <c r="C34" s="2"/>
      <c r="D34" s="20" t="s">
        <v>27</v>
      </c>
    </row>
    <row r="35" spans="2:4" ht="21.75" customHeight="1" x14ac:dyDescent="0.3">
      <c r="B35" s="3" t="s">
        <v>29</v>
      </c>
      <c r="C35" s="3"/>
      <c r="D35" s="19" t="s">
        <v>30</v>
      </c>
    </row>
    <row r="36" spans="2:4" ht="21.75" customHeight="1" x14ac:dyDescent="0.3">
      <c r="B36" s="2" t="s">
        <v>31</v>
      </c>
      <c r="C36" s="2"/>
      <c r="D36" s="20" t="s">
        <v>24</v>
      </c>
    </row>
    <row r="37" spans="2:4" ht="25.5" customHeight="1" x14ac:dyDescent="0.3">
      <c r="B37" s="1" t="s">
        <v>32</v>
      </c>
      <c r="C37" s="1"/>
      <c r="D37" s="21" t="s">
        <v>33</v>
      </c>
    </row>
  </sheetData>
  <mergeCells count="27">
    <mergeCell ref="B36:C36"/>
    <mergeCell ref="B37:C37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C19:D19"/>
    <mergeCell ref="C21:D21"/>
    <mergeCell ref="B23:D23"/>
    <mergeCell ref="B24:C24"/>
    <mergeCell ref="B25:C25"/>
    <mergeCell ref="C9:D9"/>
    <mergeCell ref="C10:D10"/>
    <mergeCell ref="C13:D13"/>
    <mergeCell ref="C16:D16"/>
    <mergeCell ref="C17:D17"/>
    <mergeCell ref="B2:D2"/>
    <mergeCell ref="B3:D3"/>
    <mergeCell ref="C4:D4"/>
    <mergeCell ref="C5:D5"/>
    <mergeCell ref="C7:D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19"/>
  <sheetViews>
    <sheetView showGridLines="0" topLeftCell="A2" zoomScaleNormal="100" workbookViewId="0">
      <selection activeCell="G13" sqref="G13"/>
    </sheetView>
  </sheetViews>
  <sheetFormatPr baseColWidth="10" defaultColWidth="8.6640625" defaultRowHeight="14.4" x14ac:dyDescent="0.3"/>
  <cols>
    <col min="1" max="1" width="2" customWidth="1"/>
    <col min="2" max="2" width="40" customWidth="1"/>
    <col min="3" max="3" width="22" customWidth="1"/>
    <col min="4" max="4" width="28" customWidth="1"/>
  </cols>
  <sheetData>
    <row r="1" spans="2:4" ht="7.5" customHeight="1" x14ac:dyDescent="0.3"/>
    <row r="2" spans="2:4" ht="36" customHeight="1" x14ac:dyDescent="0.3">
      <c r="B2" s="51" t="s">
        <v>34</v>
      </c>
      <c r="C2" s="51"/>
      <c r="D2" s="51"/>
    </row>
    <row r="3" spans="2:4" ht="24" customHeight="1" x14ac:dyDescent="0.3">
      <c r="B3" s="52" t="s">
        <v>35</v>
      </c>
      <c r="C3" s="52"/>
      <c r="D3" s="52"/>
    </row>
    <row r="5" spans="2:4" ht="19.5" customHeight="1" x14ac:dyDescent="0.3">
      <c r="B5" s="22" t="s">
        <v>36</v>
      </c>
      <c r="C5" s="23"/>
      <c r="D5" s="24" t="s">
        <v>37</v>
      </c>
    </row>
    <row r="6" spans="2:4" ht="19.5" customHeight="1" x14ac:dyDescent="0.3">
      <c r="C6" s="25"/>
      <c r="D6" s="24" t="s">
        <v>38</v>
      </c>
    </row>
    <row r="8" spans="2:4" ht="27.75" customHeight="1" x14ac:dyDescent="0.3">
      <c r="B8" s="26" t="s">
        <v>39</v>
      </c>
      <c r="C8" s="26" t="s">
        <v>40</v>
      </c>
      <c r="D8" s="26" t="s">
        <v>41</v>
      </c>
    </row>
    <row r="9" spans="2:4" ht="21.75" customHeight="1" x14ac:dyDescent="0.3">
      <c r="B9" s="27" t="s">
        <v>42</v>
      </c>
      <c r="C9" s="28">
        <v>3200</v>
      </c>
      <c r="D9" s="29" t="s">
        <v>43</v>
      </c>
    </row>
    <row r="10" spans="2:4" ht="21.75" customHeight="1" x14ac:dyDescent="0.3">
      <c r="B10" s="30" t="s">
        <v>44</v>
      </c>
      <c r="C10" s="28">
        <v>160</v>
      </c>
      <c r="D10" s="31" t="s">
        <v>45</v>
      </c>
    </row>
    <row r="11" spans="2:4" ht="21.75" customHeight="1" x14ac:dyDescent="0.3">
      <c r="B11" s="27" t="s">
        <v>46</v>
      </c>
      <c r="C11" s="28">
        <v>12</v>
      </c>
      <c r="D11" s="29" t="s">
        <v>47</v>
      </c>
    </row>
    <row r="12" spans="2:4" ht="21.75" customHeight="1" x14ac:dyDescent="0.3">
      <c r="B12" s="30" t="s">
        <v>48</v>
      </c>
      <c r="C12" s="28">
        <v>3</v>
      </c>
      <c r="D12" s="31" t="s">
        <v>47</v>
      </c>
    </row>
    <row r="13" spans="2:4" ht="21.75" customHeight="1" x14ac:dyDescent="0.3">
      <c r="B13" s="27" t="s">
        <v>49</v>
      </c>
      <c r="C13" s="28">
        <v>60</v>
      </c>
      <c r="D13" s="29" t="s">
        <v>50</v>
      </c>
    </row>
    <row r="14" spans="2:4" ht="21.75" customHeight="1" x14ac:dyDescent="0.3">
      <c r="B14" s="30" t="s">
        <v>51</v>
      </c>
      <c r="C14" s="28">
        <v>54</v>
      </c>
      <c r="D14" s="31" t="s">
        <v>50</v>
      </c>
    </row>
    <row r="15" spans="2:4" ht="21.75" customHeight="1" x14ac:dyDescent="0.3">
      <c r="B15" s="27" t="s">
        <v>52</v>
      </c>
      <c r="C15" s="28">
        <v>210</v>
      </c>
      <c r="D15" s="29" t="s">
        <v>53</v>
      </c>
    </row>
    <row r="16" spans="2:4" ht="21.75" customHeight="1" x14ac:dyDescent="0.3">
      <c r="B16" s="30" t="s">
        <v>54</v>
      </c>
      <c r="C16" s="28">
        <v>3</v>
      </c>
      <c r="D16" s="31" t="s">
        <v>53</v>
      </c>
    </row>
    <row r="18" spans="2:4" ht="7.5" customHeight="1" x14ac:dyDescent="0.3"/>
    <row r="19" spans="2:4" ht="27.75" customHeight="1" x14ac:dyDescent="0.3">
      <c r="B19" s="53" t="s">
        <v>55</v>
      </c>
      <c r="C19" s="53"/>
      <c r="D19" s="53"/>
    </row>
  </sheetData>
  <mergeCells count="3">
    <mergeCell ref="B2:D2"/>
    <mergeCell ref="B3:D3"/>
    <mergeCell ref="B19:D1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18"/>
  <sheetViews>
    <sheetView showGridLines="0" tabSelected="1" zoomScaleNormal="100" workbookViewId="0">
      <selection activeCell="J8" sqref="J8"/>
    </sheetView>
  </sheetViews>
  <sheetFormatPr baseColWidth="10" defaultColWidth="8.6640625" defaultRowHeight="14.4" x14ac:dyDescent="0.3"/>
  <cols>
    <col min="1" max="1" width="2" customWidth="1"/>
    <col min="2" max="2" width="26" customWidth="1"/>
    <col min="3" max="3" width="38" customWidth="1"/>
    <col min="4" max="4" width="16" customWidth="1"/>
    <col min="5" max="5" width="14" customWidth="1"/>
  </cols>
  <sheetData>
    <row r="1" spans="2:5" ht="7.5" customHeight="1" x14ac:dyDescent="0.3"/>
    <row r="2" spans="2:5" ht="33.75" customHeight="1" x14ac:dyDescent="0.3">
      <c r="B2" s="14" t="s">
        <v>56</v>
      </c>
      <c r="C2" s="14"/>
      <c r="D2" s="14"/>
      <c r="E2" s="14"/>
    </row>
    <row r="3" spans="2:5" ht="30" customHeight="1" x14ac:dyDescent="0.3">
      <c r="B3" s="54" t="s">
        <v>57</v>
      </c>
      <c r="C3" s="54"/>
      <c r="D3" s="54"/>
      <c r="E3" s="54"/>
    </row>
    <row r="5" spans="2:5" ht="27.75" customHeight="1" x14ac:dyDescent="0.3">
      <c r="B5" s="26" t="s">
        <v>58</v>
      </c>
      <c r="C5" s="26" t="s">
        <v>59</v>
      </c>
      <c r="D5" s="32" t="s">
        <v>60</v>
      </c>
      <c r="E5" s="26" t="s">
        <v>61</v>
      </c>
    </row>
    <row r="6" spans="2:5" ht="27.75" customHeight="1" x14ac:dyDescent="0.3">
      <c r="B6" s="33" t="s">
        <v>62</v>
      </c>
      <c r="C6" s="34" t="s">
        <v>63</v>
      </c>
      <c r="D6" s="35">
        <f>'📊 Datos'!C9/'📊 Datos'!C10</f>
        <v>20</v>
      </c>
      <c r="E6" s="36" t="str">
        <f>IF(D6&gt;20,"🟢 Bien",IF(D6&gt;10,"🟡 Atención","🔴 Crítico"))</f>
        <v>🟡 Atención</v>
      </c>
    </row>
    <row r="7" spans="2:5" ht="27.75" customHeight="1" x14ac:dyDescent="0.3">
      <c r="B7" s="37" t="s">
        <v>64</v>
      </c>
      <c r="C7" s="38" t="s">
        <v>65</v>
      </c>
      <c r="D7" s="35">
        <f>('📊 Datos'!C11+'📊 Datos'!C12)/('📊 Datos'!C9/1000)</f>
        <v>4.6875</v>
      </c>
      <c r="E7" s="36" t="str">
        <f>IF(D7&lt;0.3,"🟢 Bien",IF(D7&lt;=0.7,"🟡 Atención","🔴 Crítico"))</f>
        <v>🔴 Crítico</v>
      </c>
    </row>
    <row r="8" spans="2:5" ht="27.75" customHeight="1" x14ac:dyDescent="0.3">
      <c r="B8" s="33" t="s">
        <v>66</v>
      </c>
      <c r="C8" s="34" t="s">
        <v>67</v>
      </c>
      <c r="D8" s="35">
        <f>'📊 Datos'!C11/('📊 Datos'!C11+'📊 Datos'!C12)*100</f>
        <v>80</v>
      </c>
      <c r="E8" s="36" t="str">
        <f>IF(D8&gt;85,"🟢 Bien",IF(D8&gt;=70,"🟡 Atención","🔴 Crítico"))</f>
        <v>🟡 Atención</v>
      </c>
    </row>
    <row r="9" spans="2:5" ht="27.75" customHeight="1" x14ac:dyDescent="0.3">
      <c r="B9" s="37" t="s">
        <v>68</v>
      </c>
      <c r="C9" s="38" t="s">
        <v>69</v>
      </c>
      <c r="D9" s="39" t="s">
        <v>70</v>
      </c>
      <c r="E9" s="36" t="str">
        <f>IF(D9&gt;85,"🟢 Bien",IF(D9&gt;=70,"🟡 Atención","🔴 Crítico"))</f>
        <v>🟢 Bien</v>
      </c>
    </row>
    <row r="10" spans="2:5" ht="27.75" customHeight="1" x14ac:dyDescent="0.3">
      <c r="B10" s="33" t="s">
        <v>71</v>
      </c>
      <c r="C10" s="34" t="s">
        <v>72</v>
      </c>
      <c r="D10" s="39" t="s">
        <v>73</v>
      </c>
      <c r="E10" s="36" t="str">
        <f>IF(D10&gt;0.97,"🟢 Bien",IF(D10&gt;=0.93,"🟡 Atención","🔴 Crítico"))</f>
        <v>🟢 Bien</v>
      </c>
    </row>
    <row r="12" spans="2:5" ht="12" customHeight="1" x14ac:dyDescent="0.3"/>
    <row r="13" spans="2:5" ht="27.75" customHeight="1" x14ac:dyDescent="0.3">
      <c r="B13" s="55" t="s">
        <v>74</v>
      </c>
      <c r="C13" s="55"/>
      <c r="D13" s="55"/>
      <c r="E13" s="55"/>
    </row>
    <row r="14" spans="2:5" ht="24" customHeight="1" x14ac:dyDescent="0.3">
      <c r="B14" s="40" t="s">
        <v>58</v>
      </c>
      <c r="C14" s="41" t="s">
        <v>75</v>
      </c>
      <c r="D14" s="42" t="s">
        <v>76</v>
      </c>
      <c r="E14" s="43" t="s">
        <v>77</v>
      </c>
    </row>
    <row r="15" spans="2:5" ht="21.75" customHeight="1" x14ac:dyDescent="0.3">
      <c r="B15" s="33" t="s">
        <v>64</v>
      </c>
      <c r="C15" s="44" t="s">
        <v>78</v>
      </c>
      <c r="D15" s="45" t="s">
        <v>79</v>
      </c>
      <c r="E15" s="46" t="s">
        <v>80</v>
      </c>
    </row>
    <row r="16" spans="2:5" ht="21.75" customHeight="1" x14ac:dyDescent="0.3">
      <c r="B16" s="37" t="s">
        <v>81</v>
      </c>
      <c r="C16" s="44" t="s">
        <v>82</v>
      </c>
      <c r="D16" s="45" t="s">
        <v>83</v>
      </c>
      <c r="E16" s="46" t="s">
        <v>84</v>
      </c>
    </row>
    <row r="17" spans="2:5" ht="21.75" customHeight="1" x14ac:dyDescent="0.3">
      <c r="B17" s="33" t="s">
        <v>85</v>
      </c>
      <c r="C17" s="44" t="s">
        <v>82</v>
      </c>
      <c r="D17" s="45" t="s">
        <v>83</v>
      </c>
      <c r="E17" s="46" t="s">
        <v>84</v>
      </c>
    </row>
    <row r="18" spans="2:5" ht="21.75" customHeight="1" x14ac:dyDescent="0.3">
      <c r="B18" s="37" t="s">
        <v>71</v>
      </c>
      <c r="C18" s="44" t="s">
        <v>86</v>
      </c>
      <c r="D18" s="45" t="s">
        <v>87</v>
      </c>
      <c r="E18" s="46" t="s">
        <v>88</v>
      </c>
    </row>
  </sheetData>
  <mergeCells count="3">
    <mergeCell ref="B2:E2"/>
    <mergeCell ref="B3:E3"/>
    <mergeCell ref="B13:E1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39"/>
  <sheetViews>
    <sheetView showGridLines="0" zoomScale="90" zoomScaleNormal="100" workbookViewId="0">
      <selection activeCell="C8" sqref="C8"/>
    </sheetView>
  </sheetViews>
  <sheetFormatPr baseColWidth="10" defaultColWidth="8.6640625" defaultRowHeight="14.4" x14ac:dyDescent="0.3"/>
  <cols>
    <col min="1" max="1" width="2" customWidth="1"/>
    <col min="2" max="2" width="28" customWidth="1"/>
    <col min="3" max="6" width="18" customWidth="1"/>
  </cols>
  <sheetData>
    <row r="1" spans="2:6" ht="7.5" customHeight="1" x14ac:dyDescent="0.3"/>
    <row r="2" spans="2:6" ht="33.75" customHeight="1" x14ac:dyDescent="0.3">
      <c r="B2" s="14" t="s">
        <v>89</v>
      </c>
      <c r="C2" s="14"/>
      <c r="D2" s="14"/>
      <c r="E2" s="14"/>
      <c r="F2" s="14"/>
    </row>
    <row r="4" spans="2:6" ht="27.75" customHeight="1" x14ac:dyDescent="0.3">
      <c r="B4" s="26" t="s">
        <v>58</v>
      </c>
      <c r="C4" s="32" t="s">
        <v>40</v>
      </c>
      <c r="D4" s="26" t="s">
        <v>61</v>
      </c>
    </row>
    <row r="5" spans="2:6" ht="24" customHeight="1" x14ac:dyDescent="0.3">
      <c r="B5" s="33" t="s">
        <v>62</v>
      </c>
      <c r="C5" s="47">
        <f>'📐 Métricas'!D6</f>
        <v>20</v>
      </c>
      <c r="D5" s="48" t="str">
        <f>'📐 Métricas'!E6</f>
        <v>🟡 Atención</v>
      </c>
    </row>
    <row r="6" spans="2:6" ht="24" customHeight="1" x14ac:dyDescent="0.3">
      <c r="B6" s="37" t="s">
        <v>64</v>
      </c>
      <c r="C6" s="49">
        <f>'📐 Métricas'!D7</f>
        <v>4.6875</v>
      </c>
      <c r="D6" s="50" t="str">
        <f>'📐 Métricas'!E7</f>
        <v>🔴 Crítico</v>
      </c>
    </row>
    <row r="7" spans="2:6" ht="24" customHeight="1" x14ac:dyDescent="0.3">
      <c r="B7" s="33" t="s">
        <v>66</v>
      </c>
      <c r="C7" s="47">
        <f>'📐 Métricas'!D8</f>
        <v>80</v>
      </c>
      <c r="D7" s="48" t="str">
        <f>'📐 Métricas'!E8</f>
        <v>🟡 Atención</v>
      </c>
    </row>
    <row r="8" spans="2:6" ht="24" customHeight="1" x14ac:dyDescent="0.3">
      <c r="B8" s="37" t="s">
        <v>68</v>
      </c>
      <c r="C8" s="49" t="str">
        <f>'📐 Métricas'!D9</f>
        <v>✏  Cobertura: ='📊 Datos'!C14/'📊 Datos'!C13*100</v>
      </c>
      <c r="D8" s="50" t="str">
        <f>'📐 Métricas'!E9</f>
        <v>🟢 Bien</v>
      </c>
    </row>
    <row r="9" spans="2:6" ht="24" customHeight="1" x14ac:dyDescent="0.3">
      <c r="B9" s="33" t="s">
        <v>71</v>
      </c>
      <c r="C9" s="47" t="str">
        <f>'📐 Métricas'!D10</f>
        <v>✏  Fiabilidad: ='📊 Datos'!C15/('📊 Datos'!C15+'📊 Datos'!C16)</v>
      </c>
      <c r="D9" s="48" t="str">
        <f>'📐 Métricas'!E10</f>
        <v>🟢 Bien</v>
      </c>
    </row>
    <row r="30" spans="2:6" ht="27.75" customHeight="1" x14ac:dyDescent="0.3">
      <c r="B30" s="13" t="s">
        <v>90</v>
      </c>
      <c r="C30" s="13"/>
      <c r="D30" s="13"/>
      <c r="E30" s="13"/>
      <c r="F30" s="13"/>
    </row>
    <row r="31" spans="2:6" ht="24" customHeight="1" x14ac:dyDescent="0.3">
      <c r="B31" s="12" t="s">
        <v>91</v>
      </c>
      <c r="C31" s="12"/>
      <c r="D31" s="12"/>
      <c r="E31" s="12"/>
      <c r="F31" s="12"/>
    </row>
    <row r="32" spans="2:6" ht="21.75" customHeight="1" x14ac:dyDescent="0.3">
      <c r="B32" s="11" t="s">
        <v>92</v>
      </c>
      <c r="C32" s="11"/>
      <c r="D32" s="11"/>
      <c r="E32" s="11"/>
      <c r="F32" s="11"/>
    </row>
    <row r="33" spans="2:6" ht="21.75" customHeight="1" x14ac:dyDescent="0.3">
      <c r="B33" s="11" t="s">
        <v>92</v>
      </c>
      <c r="C33" s="11"/>
      <c r="D33" s="11"/>
      <c r="E33" s="11"/>
      <c r="F33" s="11"/>
    </row>
    <row r="34" spans="2:6" ht="24" customHeight="1" x14ac:dyDescent="0.3">
      <c r="B34" s="12" t="s">
        <v>93</v>
      </c>
      <c r="C34" s="12"/>
      <c r="D34" s="12"/>
      <c r="E34" s="12"/>
      <c r="F34" s="12"/>
    </row>
    <row r="35" spans="2:6" ht="21.75" customHeight="1" x14ac:dyDescent="0.3">
      <c r="B35" s="11" t="s">
        <v>92</v>
      </c>
      <c r="C35" s="11"/>
      <c r="D35" s="11"/>
      <c r="E35" s="11"/>
      <c r="F35" s="11"/>
    </row>
    <row r="36" spans="2:6" ht="21.75" customHeight="1" x14ac:dyDescent="0.3">
      <c r="B36" s="11" t="s">
        <v>92</v>
      </c>
      <c r="C36" s="11"/>
      <c r="D36" s="11"/>
      <c r="E36" s="11"/>
      <c r="F36" s="11"/>
    </row>
    <row r="37" spans="2:6" ht="24" customHeight="1" x14ac:dyDescent="0.3">
      <c r="B37" s="12" t="s">
        <v>94</v>
      </c>
      <c r="C37" s="12"/>
      <c r="D37" s="12"/>
      <c r="E37" s="12"/>
      <c r="F37" s="12"/>
    </row>
    <row r="38" spans="2:6" ht="21.75" customHeight="1" x14ac:dyDescent="0.3">
      <c r="B38" s="11" t="s">
        <v>92</v>
      </c>
      <c r="C38" s="11"/>
      <c r="D38" s="11"/>
      <c r="E38" s="11"/>
      <c r="F38" s="11"/>
    </row>
    <row r="39" spans="2:6" ht="21.75" customHeight="1" x14ac:dyDescent="0.3">
      <c r="B39" s="11" t="s">
        <v>92</v>
      </c>
      <c r="C39" s="11"/>
      <c r="D39" s="11"/>
      <c r="E39" s="11"/>
      <c r="F39" s="11"/>
    </row>
  </sheetData>
  <mergeCells count="11">
    <mergeCell ref="B39:F39"/>
    <mergeCell ref="B34:F34"/>
    <mergeCell ref="B35:F35"/>
    <mergeCell ref="B36:F36"/>
    <mergeCell ref="B37:F37"/>
    <mergeCell ref="B38:F38"/>
    <mergeCell ref="B2:F2"/>
    <mergeCell ref="B30:F30"/>
    <mergeCell ref="B31:F31"/>
    <mergeCell ref="B32:F32"/>
    <mergeCell ref="B33:F3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📋 Instrucciones</vt:lpstr>
      <vt:lpstr>📊 Datos</vt:lpstr>
      <vt:lpstr>📐 Métricas</vt:lpstr>
      <vt:lpstr>📈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antoyefruizg04@gmail.com</cp:lastModifiedBy>
  <cp:revision>4</cp:revision>
  <dcterms:created xsi:type="dcterms:W3CDTF">2026-03-13T15:38:41Z</dcterms:created>
  <dcterms:modified xsi:type="dcterms:W3CDTF">2026-03-13T22:52:45Z</dcterms:modified>
  <dc:language>en-US</dc:language>
</cp:coreProperties>
</file>